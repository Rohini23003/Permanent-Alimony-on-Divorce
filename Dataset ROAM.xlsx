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cb109945e65a67f1/Desktop/"/>
    </mc:Choice>
  </mc:AlternateContent>
  <xr:revisionPtr revIDLastSave="10" documentId="8_{C56CE9D5-75FC-42E3-9FEA-3CDBE8B4CB35}" xr6:coauthVersionLast="47" xr6:coauthVersionMax="47" xr10:uidLastSave="{2C481BA5-FEE8-4A73-8886-20C6B53D3E02}"/>
  <bookViews>
    <workbookView xWindow="-108" yWindow="-108" windowWidth="23256" windowHeight="12456" firstSheet="1" activeTab="2" xr2:uid="{00000000-000D-0000-FFFF-FFFF00000000}"/>
  </bookViews>
  <sheets>
    <sheet name="Read Me" sheetId="1" r:id="rId1"/>
    <sheet name="Team" sheetId="2" r:id="rId2"/>
    <sheet name="Data" sheetId="3" r:id="rId3"/>
    <sheet name="Chart counts" sheetId="4" r:id="rId4"/>
    <sheet name="Vocabular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 i="4" l="1"/>
  <c r="B35" i="4"/>
  <c r="B36" i="4"/>
  <c r="B37" i="4"/>
  <c r="B33" i="4"/>
  <c r="B27" i="4"/>
  <c r="B28" i="4"/>
  <c r="B29" i="4"/>
  <c r="B30" i="4"/>
  <c r="B26" i="4"/>
  <c r="B20" i="4"/>
  <c r="B21" i="4"/>
  <c r="B22" i="4"/>
  <c r="B23" i="4"/>
  <c r="B19" i="4"/>
  <c r="B14" i="4"/>
  <c r="B15" i="4"/>
  <c r="B16" i="4"/>
  <c r="B13" i="4"/>
  <c r="B6" i="4"/>
  <c r="B7" i="4"/>
  <c r="B8" i="4"/>
  <c r="B9" i="4"/>
  <c r="B10" i="4"/>
  <c r="B5" i="4"/>
</calcChain>
</file>

<file path=xl/sharedStrings.xml><?xml version="1.0" encoding="utf-8"?>
<sst xmlns="http://schemas.openxmlformats.org/spreadsheetml/2006/main" count="376" uniqueCount="219">
  <si>
    <t>Judgment Content Analysis · Dataset template</t>
  </si>
  <si>
    <t>How to use this file</t>
  </si>
  <si>
    <t>1. Fill the Team sheet.</t>
  </si>
  <si>
    <t>3. Pale yellow cells are yours to fill. Dropdown columns accept only the listed values (see the Vocabularies sheet). Do not add, delete or reorder columns.</t>
  </si>
  <si>
    <t>5. Read the Option 2 Guide for the column meanings, the charts, GitHub steps and the README.</t>
  </si>
  <si>
    <t>Team information</t>
  </si>
  <si>
    <t>Topic</t>
  </si>
  <si>
    <t>Court</t>
  </si>
  <si>
    <t>Team name</t>
  </si>
  <si>
    <t>GitHub repository link</t>
  </si>
  <si>
    <t>Member 1 · name and section</t>
  </si>
  <si>
    <t>Member 2 · name and section</t>
  </si>
  <si>
    <t>Member 3 · name and section (if any)</t>
  </si>
  <si>
    <t>Member 4 · name and section (if any)</t>
  </si>
  <si>
    <t>Date completed (DD-MM-YYYY)</t>
  </si>
  <si>
    <t>Data · one row per judgment</t>
  </si>
  <si>
    <t>Row 5 is a made-up example. Your judgments start at row 6. Enter 10 to 20 judgments decided between 01-09-2021 and 31-08-2026. See the Option 2 Guide, section 4.</t>
  </si>
  <si>
    <t>#</t>
  </si>
  <si>
    <t>Case name</t>
  </si>
  <si>
    <t>Citation or case number</t>
  </si>
  <si>
    <t>Date of decision (DD-MM-YYYY)</t>
  </si>
  <si>
    <t>Year</t>
  </si>
  <si>
    <t>Bench strength</t>
  </si>
  <si>
    <t>Type of case</t>
  </si>
  <si>
    <t>Who brought the case</t>
  </si>
  <si>
    <t>Outcome</t>
  </si>
  <si>
    <t>Who won</t>
  </si>
  <si>
    <t>Main provision</t>
  </si>
  <si>
    <t>Issue in one line</t>
  </si>
  <si>
    <t>Holding in one line</t>
  </si>
  <si>
    <t>Precedent chiefly relied on</t>
  </si>
  <si>
    <t>Source link (official copy)</t>
  </si>
  <si>
    <t>Coded by</t>
  </si>
  <si>
    <t>EX</t>
  </si>
  <si>
    <t>Example Petitioner v. State of Maharashtra (made-up)</t>
  </si>
  <si>
    <t>2024 INSC 000 (made-up)</t>
  </si>
  <si>
    <t>15-03-2024</t>
  </si>
  <si>
    <t>Criminal appeal</t>
  </si>
  <si>
    <t>Individual</t>
  </si>
  <si>
    <t>Allowed</t>
  </si>
  <si>
    <t>s 438 CrPC</t>
  </si>
  <si>
    <t>Whether anticipatory bail can be limited to a fixed period.</t>
  </si>
  <si>
    <t>Bail granted; protection ordinarily lasts till the end of trial.</t>
  </si>
  <si>
    <t>Sushila Aggarwal v. State (NCT of Delhi)</t>
  </si>
  <si>
    <t>https://www.sci.gov.in/judgements/ (made-up)</t>
  </si>
  <si>
    <t>A. Deshmukh</t>
  </si>
  <si>
    <t>Counts for your charts (these update automatically from the Data sheet)</t>
  </si>
  <si>
    <t>Select a table below, then Insert &gt; Chart in Excel or Google Sheets. Save each chart as PNG.</t>
  </si>
  <si>
    <t>Judgments</t>
  </si>
  <si>
    <t>Dismissed</t>
  </si>
  <si>
    <t>Partly allowed</t>
  </si>
  <si>
    <t>Other</t>
  </si>
  <si>
    <t>Company</t>
  </si>
  <si>
    <t>State or public body</t>
  </si>
  <si>
    <t>Association or NGO</t>
  </si>
  <si>
    <t>Mixed or unclear</t>
  </si>
  <si>
    <t>Writ petition</t>
  </si>
  <si>
    <t>Civil appeal</t>
  </si>
  <si>
    <t>SLP</t>
  </si>
  <si>
    <t>Lists used by the dropdowns (do not edit)</t>
  </si>
  <si>
    <t>2. In the Data sheet, enter one row per judgment starting at row 6. Row 5 is a made-up example showing the format; leave it as it is.</t>
  </si>
  <si>
    <t>4. When done, rename this file data.xlsx. Also save the Data sheet as data.csv (File &gt; Save As &gt; CSV). Upload both to your GitHub repository.</t>
  </si>
  <si>
    <t xml:space="preserve">Permanent Alimony on Divorce </t>
  </si>
  <si>
    <t>Supreme Court</t>
  </si>
  <si>
    <t xml:space="preserve">ROAM </t>
  </si>
  <si>
    <t>Rohini Abhyankar - C - 23010422003</t>
  </si>
  <si>
    <t>29-10-2026</t>
  </si>
  <si>
    <t>Poonam Devi v. Surender Kumar, 2022 SCC OnLine SC 2200</t>
  </si>
  <si>
    <t>Hironmoy Sen v. State of W.B., (2022) 16 SCC 417</t>
  </si>
  <si>
    <t>Rakesh Raman v. Kavita, (2023) 17 SCC 433</t>
  </si>
  <si>
    <t>Jatinder Kumar Sapra v. Anupama Sapra, (2024) 19 SCC 516</t>
  </si>
  <si>
    <t>Trisha Singh v. Anurag Kumar, 2024 SCC OnLine SC 1191</t>
  </si>
  <si>
    <t>Kiran Jyot Maini v. Anish Pramod Patel, (2024) 13 SCC 66</t>
  </si>
  <si>
    <t>Vikas Kanaujia v. Sarita, (2025) 3 SCC 748</t>
  </si>
  <si>
    <t>Amutha v. A.R. Subramanian, 2024 SCC OnLine SC 3822</t>
  </si>
  <si>
    <t>Rinku Baheti v. Sandesh Sharda, (2025) 3 SCC 686</t>
  </si>
  <si>
    <t>Sukhdev Singh v. Sukhbir Kaur, 2025 SCC OnLine SC 299</t>
  </si>
  <si>
    <t>Vishal Shah v. Monalisha Gupta, 2025 SCC OnLine SC 383</t>
  </si>
  <si>
    <t>Gajendra Singh v. Reena Balmiki, 2025 SCC OnLine SC 675</t>
  </si>
  <si>
    <t>Rakhi Sadhukhan v. Raja Sadhukhan, 2025 SCC OnLine SC 1259</t>
  </si>
  <si>
    <t>Anurag Vijaykumar Goel v. State of Maharashtra, 2025 SCC OnLine SC 1611</t>
  </si>
  <si>
    <t>A. Ranjithkumar v. E. Kavitha, 2025 SCC OnLine SC 1698</t>
  </si>
  <si>
    <t>M.V. Leelavathi v. Dr. C.R. Swamy, 2025 SCC OnLine SC 1724</t>
  </si>
  <si>
    <t>Rekha Minocha v. Amit Shah Minocha, 2025 SCC OnLine SC 2308</t>
  </si>
  <si>
    <t>Sonia Virk v. Rohit Vats, 2025 SCC OnLine SC 2714</t>
  </si>
  <si>
    <t>Bhagyashree Bisi v. Animesh Padhee, 2025 SCC OnLine SC 2860</t>
  </si>
  <si>
    <t>Jatinder Kumar v. Jeewan Lata, 2025 SCC OnLine SC 2861</t>
  </si>
  <si>
    <t>Salil Dhawan v. Priyanshi Ghai, 2026 SCC OnLine SC 965</t>
  </si>
  <si>
    <t>2025 INSC 789</t>
  </si>
  <si>
    <t>29/05/2025</t>
  </si>
  <si>
    <t>Civil Appeal</t>
  </si>
  <si>
    <t>S. 125 Code of Criminal Procedure, 1973
S. 24 Hindu Marriage Act, 1955</t>
  </si>
  <si>
    <t xml:space="preserve">Quantum of permanent alimony fixed by High Court to be enhanced or not. </t>
  </si>
  <si>
    <t>Quantum of permanent alimony enhanced to Rs. 50,000/- per month, subject to 5% increase every two years.</t>
  </si>
  <si>
    <t>n/a</t>
  </si>
  <si>
    <t>Amisha</t>
  </si>
  <si>
    <t>https://api.sci.gov.in/supremecourt/2019/46119/46119_2019_16_35_37117_Order_08-Aug-2022.pdf</t>
  </si>
  <si>
    <t>C.A. No.-005195-005195 - 2022</t>
  </si>
  <si>
    <t>Partly Allowed</t>
  </si>
  <si>
    <t>https://api.sci.gov.in/supremecourt/2019/16545/16545_2019_31_24_30709_Order_20-Oct-2021.pdf</t>
  </si>
  <si>
    <t>Crl.A. No.-001243-001243 - 2021</t>
  </si>
  <si>
    <t>20/10/2021</t>
  </si>
  <si>
    <t>Sneha Parikh v. Manit Kumar 
(2018) 4 SCC 501</t>
  </si>
  <si>
    <t>Marriage between appellant and respondent no. 2 would be disolved subject to fullfilling of payment of permanent alimony as per terms of Mutual Consent and additional affidavit.</t>
  </si>
  <si>
    <t>Art. 142
Section 13B of the Hindu Marriage
Act, 1955</t>
  </si>
  <si>
    <t>Dispute relating to daughter's custody persuant to the ambiguity in the Mutual Consent Terms</t>
  </si>
  <si>
    <t xml:space="preserve">Additional sum of Rs. 3000/- added making total monthly payment for child to Rs. 8000/- for the next 12 years, and alimony of wife was increased to Rs.10 lakhs </t>
  </si>
  <si>
    <t>Dispute relating to amount of permanent alimony and child maintainenace amount of Rs. 5 lakhs and Rs. 5000/- per month.</t>
  </si>
  <si>
    <t>https://scr.sci.gov.in//scrsearch/tmp/4c2e2abfc7b4f7e5477246cdf231bfc0658714d339464d4b3cb7539a9db005c01793303959.pdf</t>
  </si>
  <si>
    <t>2023 INSC 433</t>
  </si>
  <si>
    <t>24/04/2023</t>
  </si>
  <si>
    <t>s. 13 (1) (ia), (ib) of Hindu Marriage Act, 1955</t>
  </si>
  <si>
    <t>Divorce granted as marriage is irretrievably broken. Subject to deposition of Rs. 30,00,000 (30 lakh) as permanent alimony to be given to wife.</t>
  </si>
  <si>
    <t>Samar Ghosh v. Deepak Tyagi 
(2022) 3 SCC 86</t>
  </si>
  <si>
    <t>Appeal against High Court's decision setting aside trial court's order which granted disolution of marriage.</t>
  </si>
  <si>
    <t>2024 INSC 382</t>
  </si>
  <si>
    <t>Whether the court could exercise jurisdiction to pass a decree of divorce on the ground of irretrievable breakdown of marriage?</t>
  </si>
  <si>
    <t>Art. 142 
S. 13(1)(ia) Hindu Marriage Act, 1955</t>
  </si>
  <si>
    <t>Shilpa Sailesh v. Varun Sreenivasan
2023 SCC OnLine SC 544</t>
  </si>
  <si>
    <t>Decision of Family Court and High Court were overtuned, and case was considered fit for decree of divorce. An permanent alimony of Rs. 50 lakhs was set to be paid to the wife.</t>
  </si>
  <si>
    <t>https://api.sci.gov.in/supremecourt/2019/38281/38281_2019_8_1501_52891_Judgement_06-May-2024.pdf</t>
  </si>
  <si>
    <t>2024 INSC 450</t>
  </si>
  <si>
    <t>15/05/2024</t>
  </si>
  <si>
    <t>S. 9 Hindu Marriage Act, 1955
Art. 142</t>
  </si>
  <si>
    <t>https://api.sci.gov.in/supremecourt/2023/7582/7582_2023_3_2_53263_Judgement_15-May-2024.pdf</t>
  </si>
  <si>
    <t>Ruchi Agarwal v. Amit Kumar and Others
(2005) 3 SCC 299</t>
  </si>
  <si>
    <t>Issue in following of terms of settlement by wife, while husband was following it.</t>
  </si>
  <si>
    <t>Court granted divorce decree under Art 142, and the husband was ordered to pay remainder sum off the permanent alimony decided as per Terms of Settlement.</t>
  </si>
  <si>
    <t>2024 INSC 517</t>
  </si>
  <si>
    <t>s. 13 Hindu Marriage Act, 1955
Art. 142</t>
  </si>
  <si>
    <t>Appeal against High Court's decision setting aside Family court's order which granted disolution of marriage.</t>
  </si>
  <si>
    <t xml:space="preserve">Decree of Divorce was granted on account of irretrievable breakdown of marriage; and no alimony was granted as both parties were professionally qualified medical doctors with almost equal earning. </t>
  </si>
  <si>
    <t>Rajib Kumar Roy v. Sushmita Saha
2023 SCC OnLine SC 1221</t>
  </si>
  <si>
    <t>https://api.sci.gov.in/supremecourt/2019/41310/41310_2019_7_1505_53544_Judgement_10-Jul-2024.pdf</t>
  </si>
  <si>
    <t>2024 INSC 530</t>
  </si>
  <si>
    <t>15/07/2024</t>
  </si>
  <si>
    <t>2024 INSC 1033</t>
  </si>
  <si>
    <t>19/12/2024</t>
  </si>
  <si>
    <t>2024 INSC 1014</t>
  </si>
  <si>
    <t>S. 12, 23 of Protection of Women from Domestic Violence Act, 2005</t>
  </si>
  <si>
    <t>Rajnesh v. Neha and another
(2020) 13 SCR 1093
Vinny Paramvir Parmar v. Paramvir Parmar (2011) 9 SCR 371</t>
  </si>
  <si>
    <t>Longterm disputes and litgation over matrimonial status and maintainenance amounts.</t>
  </si>
  <si>
    <t>Marriage between parties was dissolved and decree for divorce was granted. Rs. 2 crores were fixed to be given to wife as permanent alimony. Court delved further that alimony or maintainance should not be penal and are awarded as a means to maintain standard of living.</t>
  </si>
  <si>
    <t>https://api.sci.gov.in/supremecourt/2024/1789/1789_2024_7_1506_53695_Judgement_15-Jul-2024.pdf</t>
  </si>
  <si>
    <t>Challenging order of grant of divorce.</t>
  </si>
  <si>
    <t>Naveen Kohli v. Neelu  (2006) 3 SCR 53; 
Samar Ghosh v. Jaya Ghosh  (2007) 4 SCR 428; 
Kiran Jyot Maini v. Anish Pramod Patel  (2024) 13 SCC 66</t>
  </si>
  <si>
    <t>https://api.sci.gov.in/supremecourt/2018/41090/41090_2018_6_1501_58085_Judgement_19-Dec-2024.pdf</t>
  </si>
  <si>
    <t>Decree of divorce was granted and maintainenace of Rs. 50 lakh was granted towards the child and Rs. 50 lakh was awarded as permanent alimony to the wife without her claiming any alimony.</t>
  </si>
  <si>
    <t>Longterm disputes with numerous litigations involving questions including whether the wife could transfer the petition, and whether this court could grant decree of divorce exercising art. 142 and decide alimony.</t>
  </si>
  <si>
    <t xml:space="preserve">Decree of divorce was granted on the ground of irretrievable breakdown. Rs. 12 crores to be paid to wife as permanent alimony in addition to Rs. 3 lakh for litigation expenses. 
Discussions were made regarding misuse &amp; abuse of process of law, and amounts given to maintain standard of living similar to martrimonial home. There is no fixed bracket amount depends on various factors including time period of marriage. </t>
  </si>
  <si>
    <t>Naveen Kohli v. Neelu  (2006) 3 SCR 53; 
Shilpa Sailesh v. Varun Sreenivasan (2023) 5 SCR 165</t>
  </si>
  <si>
    <t>s. 25 CPC
S. 498A, 376, 377, 506 IPC
S. 13 Hindu Marriage Act
Art 142</t>
  </si>
  <si>
    <t>https://api.sci.gov.in/supremecourt/2023/3848/3848_2023_8_1501_58087_Judgement_19-Dec-2024.pdf</t>
  </si>
  <si>
    <t>2025 INSC 197</t>
  </si>
  <si>
    <t>Whether a spouse of marriage which is void as under s. 11 is entitled to permanent alimony or maintenance; whether during pendency of suit u/s. 11 of HMA a spouse can seek pendente lite.</t>
  </si>
  <si>
    <t>Chand Dhawan v. Jawaharlal Dhawan  (1993) INSC 216</t>
  </si>
  <si>
    <t>S. 5, 11, 24, 25 Hindu Marriage Act</t>
  </si>
  <si>
    <t>A spouse whose marriage is declared void under s. 11 of HMA is entitled to permanent alimony/ maintenance and pendente lite on similar terms as divorced spouse. 
Court made discussions and clarified that s. 125 CrPC and s. 25 HMA are separate and the latter allows both husband &amp; wife to claim. The court was also dissatified with the use of degrading terms such "illegitimate wife" and "faithful mistress" by the lower courts for referring women spouses of void marriage, while the similar classification was not done upon the male counterparts.</t>
  </si>
  <si>
    <t>https://api.sci.gov.in/supremecourt/2018/15003/15003_2018_4_1501_59475_Judgement_12-Feb-2025.pdf</t>
  </si>
  <si>
    <t>S. 498A IPC</t>
  </si>
  <si>
    <t>2025 INSC 926</t>
  </si>
  <si>
    <t>Dispute over matrimonial status and resiling of the wife from terms of settlement.</t>
  </si>
  <si>
    <t>https://api.sci.gov.in/supremecourt/2024/54705/54705_2024_1_1502_63013_Judgement_05-Aug-2025.pdf</t>
  </si>
  <si>
    <t>Decree of Divorce is granted on the condition of transfer of two car parking and the said apartment to be given as permanent alimony via a gift deed to the wife along with due arrears paid uptil fixed date. Further alimony refused due to unemployed status of husband and presence of minor child in his custody.</t>
  </si>
  <si>
    <t>2025 INSC 978</t>
  </si>
  <si>
    <t>14/8/2025</t>
  </si>
  <si>
    <t>Appeal against High Court's decision setting aside decree of divorce granted by Family Court.</t>
  </si>
  <si>
    <t>Decree of Divorce granted on ground of irretrieable breakdown of marriage due to separation over 15 years, and the husband had already married 8 years back making it fit case for Art 142. Permanent alimony was awarded in favour of wife for Rs. 25 lakh.</t>
  </si>
  <si>
    <t>https://api.sci.gov.in/supremecourt/2018/42750/42750_2018_3_1501_63307_Judgement_14-Aug-2025.pdf</t>
  </si>
  <si>
    <t>2025 INSC 994</t>
  </si>
  <si>
    <t>18/08/2025</t>
  </si>
  <si>
    <t>Challenging order of lower courts disputing the amount of Rs. 15 lakh awarded as alimony.</t>
  </si>
  <si>
    <t>S. 13 (1) (a) of Hindu Marriage Act, 1955</t>
  </si>
  <si>
    <t>The permanent alimony amout was enhanced to Rs. 50lakh payable to the wife. Court discussed that Amount of alimony or maintenance is decided basis various factors including capacity of both the parties, educational qualifications, current employment status.</t>
  </si>
  <si>
    <t>https://api.sci.gov.in/supremecourt/2023/855/855_2023_3_1501_63328_Judgement_18-Aug-2025.pdf</t>
  </si>
  <si>
    <t>https://api.sci.gov.in/supremecourt/2023/48594/48594_2023_5_1501_65240_Judgement_29-Oct-2025.pdf</t>
  </si>
  <si>
    <t>2025 INSC 1265</t>
  </si>
  <si>
    <t>29/10/2025</t>
  </si>
  <si>
    <t xml:space="preserve">S. 125 Code of Criminal Procedure, 1973
</t>
  </si>
  <si>
    <t>Challenging order of lower courts disputing the amount of awarded as alimony.</t>
  </si>
  <si>
    <t>The court granted decree of divorce subject to payment of Rs. 1cr to the wife payable as permanent alimony.</t>
  </si>
  <si>
    <t>2025 INSC 1390</t>
  </si>
  <si>
    <t>Challenging order of High Court which granted a decree of divorce and fixed permanent alimony Rs. 30lakhs.</t>
  </si>
  <si>
    <t xml:space="preserve">The court granted decree of divorce and the permanent alimony was enhanced to Rs. 50 lakhs and the decision of high court relating to child's maintenance and other grounds remains same. </t>
  </si>
  <si>
    <t>https://api.sci.gov.in/supremecourt/2024/52790/52790_2024_2_1501_66615_Judgement_05-Dec-2025.pdf</t>
  </si>
  <si>
    <t>2025 INSC 1464</t>
  </si>
  <si>
    <t>18/12/2025</t>
  </si>
  <si>
    <t>s. 13 (1) (ia) of Hindu Marriage Act, 1955</t>
  </si>
  <si>
    <t>https://api.sci.gov.in/supremecourt/2024/47059/47059_2024_2_1503_67123_Judgement_18-Dec-2025.pdf</t>
  </si>
  <si>
    <t>s. 13 of Hindu Marriage Act, 1955</t>
  </si>
  <si>
    <t>Challenging order of the lower courts granting decree of divorce on ground of Desertion.</t>
  </si>
  <si>
    <t>The court granted decree of divorce exercising art 142, and awarded Rs. 25 lakh to the wife as permanent alimony.</t>
  </si>
  <si>
    <t>2025 INSC 1463</t>
  </si>
  <si>
    <t>https://api.sci.gov.in/supremecourt/2024/17190/17190_2024_2_1502_67123_Judgement_18-Dec-2025.pdf</t>
  </si>
  <si>
    <t>Challenging order of High Court which affirmed the Family Court's decision of dismissal of divorce petition.</t>
  </si>
  <si>
    <t>S. 9, 13 of Hindu Marriage Act, 1955.</t>
  </si>
  <si>
    <t>The court granted decree of divorce on ground of irretrievable break down thereby exercising art 142, subject to payment of Rs. 20 lakh to the wife as permanent alimony.</t>
  </si>
  <si>
    <t>2026 INSC 577</t>
  </si>
  <si>
    <t>27/05/2026</t>
  </si>
  <si>
    <t>S. 90(i) of the Army Act, 1950
S. 12 of Protection of Women from Domestic Violence Act, 2005
S. 125 Code of Criminal Procedure
S. 13 (1) (i) of the Hindu Marriage Act, 1955</t>
  </si>
  <si>
    <t>Challenging order of High Court upholding the family court dismissing the divorce petition and husband's appeal.</t>
  </si>
  <si>
    <t>The court granted decree of divorce exercising art 142, subject to payment of Rs. 50 lakh to the wife as permanent alimony.</t>
  </si>
  <si>
    <t>https://api.sci.gov.in/supremecourt/2024/61192/61192_2024_2_1502_71618_Judgement_27-May-2026.pdf</t>
  </si>
  <si>
    <t>https://api.sci.gov.in/supremecourt/2023/12172/12172_2023_5_1502_59567_Judgement_20-Feb-2025.pdf</t>
  </si>
  <si>
    <t>2025 INSC 254</t>
  </si>
  <si>
    <t>20/2/2025</t>
  </si>
  <si>
    <t>Challenging order of High Court which dismissed his plea against the trial court order seeking his extradition</t>
  </si>
  <si>
    <t>The court granted decree of divorce exercising art 142, and awarded Rs. 25 lakh to the wife as permanent alimony; which would be returned to husband if wife fails to collect from registry. The authorities were directed to release the passport of the husband.</t>
  </si>
  <si>
    <t>S. 498A, 405, 406, 407,420, 378, 499, 500, 323, 341, 342, 379, 403, 504, 506, 120B, 186, 188, 332, 379, 307, 324 IPC.
S. 125 CrPC.
S. 3, 4 of Dowry Prohibition Act, 1961.
S. 26, 18, 19, 20, 21, 22, 12, 31, 32 DV Act.
S.9 Hindu Marriage Act</t>
  </si>
  <si>
    <t>2025 INSC 413</t>
  </si>
  <si>
    <t>26/03/2025</t>
  </si>
  <si>
    <t>S. 125 Code of Criminal Procedure
S. 23 Dowry Prohibition Act</t>
  </si>
  <si>
    <t xml:space="preserve">Challenging High Court decision which dismissed Revision petition seeking reconsideration of maintainence amount. </t>
  </si>
  <si>
    <t>The court granted decree of divorce on the ground of irretrievable break down of marriage, thereby exercising art 142, and awarded Rs. 40 lakh to the wife as permanent alimony.</t>
  </si>
  <si>
    <t>https://api.sci.gov.in/supremecourt/2023/11160/11160_2023_5_1501_60272_Judgement_26-Mar-2025.pdf</t>
  </si>
  <si>
    <t>https://api.sci.gov.in/supremecourt/2023/2269/2269_2023_3_1501_62129_Judgement_29-May-2025.pdf</t>
  </si>
  <si>
    <t>Amisha Mehta - C - 23010422007</t>
  </si>
  <si>
    <t>Rohini</t>
  </si>
  <si>
    <t xml:space="preserve">Amisha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</si>
</sst>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1B2431"/>
      <name val="Arial"/>
      <family val="2"/>
    </font>
    <font>
      <sz val="9"/>
      <name val="Arial"/>
      <family val="2"/>
    </font>
    <font>
      <b/>
      <sz val="12"/>
      <color rgb="FF1B2431"/>
      <name val="Arial"/>
      <family val="2"/>
    </font>
    <font>
      <sz val="10"/>
      <name val="Arial"/>
      <family val="2"/>
    </font>
    <font>
      <b/>
      <sz val="14"/>
      <color rgb="FF1B2431"/>
      <name val="Arial"/>
      <family val="2"/>
    </font>
    <font>
      <b/>
      <sz val="10"/>
      <name val="Arial"/>
      <family val="2"/>
    </font>
    <font>
      <b/>
      <sz val="9"/>
      <color rgb="FFFFFFFF"/>
      <name val="Arial"/>
      <family val="2"/>
    </font>
    <font>
      <sz val="9"/>
      <color rgb="FF5A6472"/>
      <name val="Arial"/>
      <family val="2"/>
    </font>
    <font>
      <sz val="10"/>
      <name val="Arial"/>
      <family val="2"/>
    </font>
    <font>
      <u/>
      <sz val="11"/>
      <color theme="10"/>
      <name val="Calibri"/>
      <family val="2"/>
      <scheme val="minor"/>
    </font>
    <font>
      <b/>
      <sz val="9"/>
      <color rgb="FF1B2431"/>
      <name val="Arial"/>
      <family val="2"/>
    </font>
    <font>
      <sz val="9"/>
      <color theme="1"/>
      <name val="Calibri"/>
      <family val="2"/>
      <scheme val="minor"/>
    </font>
  </fonts>
  <fills count="5">
    <fill>
      <patternFill patternType="none"/>
    </fill>
    <fill>
      <patternFill patternType="gray125"/>
    </fill>
    <fill>
      <patternFill patternType="solid">
        <fgColor rgb="FFFFF7CC"/>
      </patternFill>
    </fill>
    <fill>
      <patternFill patternType="solid">
        <fgColor rgb="FF1B2431"/>
      </patternFill>
    </fill>
    <fill>
      <patternFill patternType="solid">
        <fgColor rgb="FFF2F2F0"/>
      </patternFill>
    </fill>
  </fills>
  <borders count="2">
    <border>
      <left/>
      <right/>
      <top/>
      <bottom/>
      <diagonal/>
    </border>
    <border>
      <left style="thin">
        <color rgb="FFD0D4D9"/>
      </left>
      <right style="thin">
        <color rgb="FFD0D4D9"/>
      </right>
      <top style="thin">
        <color rgb="FFD0D4D9"/>
      </top>
      <bottom style="thin">
        <color rgb="FFD0D4D9"/>
      </bottom>
      <diagonal/>
    </border>
  </borders>
  <cellStyleXfs count="2">
    <xf numFmtId="0" fontId="0" fillId="0" borderId="0"/>
    <xf numFmtId="0" fontId="10" fillId="0" borderId="0" applyNumberFormat="0" applyFill="0" applyBorder="0" applyAlignment="0" applyProtection="0"/>
  </cellStyleXfs>
  <cellXfs count="2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4" fillId="2" borderId="1" xfId="0" applyFont="1" applyFill="1" applyBorder="1"/>
    <xf numFmtId="0" fontId="8" fillId="0" borderId="0" xfId="0" applyFont="1"/>
    <xf numFmtId="0" fontId="7" fillId="3" borderId="0" xfId="0" applyFont="1" applyFill="1" applyAlignment="1">
      <alignment vertical="top" wrapText="1"/>
    </xf>
    <xf numFmtId="0" fontId="8" fillId="4" borderId="1" xfId="0" applyFont="1" applyFill="1" applyBorder="1" applyAlignment="1">
      <alignment vertical="top" wrapText="1"/>
    </xf>
    <xf numFmtId="0" fontId="2" fillId="0" borderId="0" xfId="0" applyFont="1"/>
    <xf numFmtId="0" fontId="2" fillId="2" borderId="1" xfId="0" applyFont="1" applyFill="1" applyBorder="1" applyAlignment="1">
      <alignment vertical="top" wrapText="1"/>
    </xf>
    <xf numFmtId="0" fontId="3" fillId="0" borderId="0" xfId="0" applyFont="1"/>
    <xf numFmtId="0" fontId="7" fillId="3" borderId="0" xfId="0" applyFont="1" applyFill="1"/>
    <xf numFmtId="0" fontId="9" fillId="0" borderId="0" xfId="0" applyFont="1" applyAlignment="1">
      <alignment vertical="top" wrapText="1"/>
    </xf>
    <xf numFmtId="0" fontId="11" fillId="0" borderId="0" xfId="0" applyFont="1" applyAlignment="1">
      <alignment vertical="top"/>
    </xf>
    <xf numFmtId="0" fontId="8" fillId="0" borderId="0" xfId="0" applyFont="1" applyAlignment="1">
      <alignment vertical="top"/>
    </xf>
    <xf numFmtId="0" fontId="12" fillId="0" borderId="0" xfId="0" applyFont="1" applyAlignment="1">
      <alignment vertical="top" wrapText="1"/>
    </xf>
    <xf numFmtId="14" fontId="2" fillId="2" borderId="1" xfId="0" applyNumberFormat="1" applyFont="1" applyFill="1" applyBorder="1" applyAlignment="1">
      <alignment vertical="top" wrapText="1"/>
    </xf>
    <xf numFmtId="0" fontId="2" fillId="2" borderId="1" xfId="1"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9"/>
  <sheetViews>
    <sheetView zoomScale="87" workbookViewId="0">
      <selection activeCell="B15" sqref="B15"/>
    </sheetView>
  </sheetViews>
  <sheetFormatPr defaultColWidth="8.77734375" defaultRowHeight="14.4" x14ac:dyDescent="0.3"/>
  <cols>
    <col min="1" max="1" width="3" customWidth="1"/>
    <col min="2" max="2" width="105" customWidth="1"/>
  </cols>
  <sheetData>
    <row r="2" spans="2:2" ht="36" customHeight="1" x14ac:dyDescent="0.3">
      <c r="B2" s="1" t="s">
        <v>0</v>
      </c>
    </row>
    <row r="3" spans="2:2" ht="16.05" customHeight="1" x14ac:dyDescent="0.3">
      <c r="B3" s="2"/>
    </row>
    <row r="4" spans="2:2" ht="18" customHeight="1" x14ac:dyDescent="0.3">
      <c r="B4" s="3" t="s">
        <v>1</v>
      </c>
    </row>
    <row r="5" spans="2:2" ht="16.05" customHeight="1" x14ac:dyDescent="0.3">
      <c r="B5" s="4" t="s">
        <v>2</v>
      </c>
    </row>
    <row r="6" spans="2:2" ht="30" customHeight="1" x14ac:dyDescent="0.3">
      <c r="B6" s="15" t="s">
        <v>60</v>
      </c>
    </row>
    <row r="7" spans="2:2" ht="30" customHeight="1" x14ac:dyDescent="0.3">
      <c r="B7" s="4" t="s">
        <v>3</v>
      </c>
    </row>
    <row r="8" spans="2:2" ht="30" customHeight="1" x14ac:dyDescent="0.3">
      <c r="B8" s="15" t="s">
        <v>61</v>
      </c>
    </row>
    <row r="9" spans="2:2" ht="16.05" customHeight="1" x14ac:dyDescent="0.3">
      <c r="B9" s="4"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2"/>
  <sheetViews>
    <sheetView workbookViewId="0">
      <selection activeCell="C12" sqref="C12"/>
    </sheetView>
  </sheetViews>
  <sheetFormatPr defaultColWidth="8.77734375" defaultRowHeight="14.4" x14ac:dyDescent="0.3"/>
  <cols>
    <col min="1" max="1" width="3" customWidth="1"/>
    <col min="2" max="2" width="32" customWidth="1"/>
    <col min="3" max="3" width="50" customWidth="1"/>
  </cols>
  <sheetData>
    <row r="2" spans="2:3" ht="17.399999999999999" x14ac:dyDescent="0.3">
      <c r="B2" s="5" t="s">
        <v>5</v>
      </c>
    </row>
    <row r="4" spans="2:3" x14ac:dyDescent="0.3">
      <c r="B4" s="6" t="s">
        <v>6</v>
      </c>
      <c r="C4" s="7" t="s">
        <v>62</v>
      </c>
    </row>
    <row r="5" spans="2:3" x14ac:dyDescent="0.3">
      <c r="B5" s="6" t="s">
        <v>7</v>
      </c>
      <c r="C5" s="7" t="s">
        <v>63</v>
      </c>
    </row>
    <row r="6" spans="2:3" x14ac:dyDescent="0.3">
      <c r="B6" s="6" t="s">
        <v>8</v>
      </c>
      <c r="C6" s="7" t="s">
        <v>64</v>
      </c>
    </row>
    <row r="7" spans="2:3" x14ac:dyDescent="0.3">
      <c r="B7" s="6" t="s">
        <v>9</v>
      </c>
      <c r="C7" s="7"/>
    </row>
    <row r="8" spans="2:3" x14ac:dyDescent="0.3">
      <c r="B8" s="6" t="s">
        <v>10</v>
      </c>
      <c r="C8" s="7" t="s">
        <v>216</v>
      </c>
    </row>
    <row r="9" spans="2:3" x14ac:dyDescent="0.3">
      <c r="B9" s="6" t="s">
        <v>11</v>
      </c>
      <c r="C9" s="7" t="s">
        <v>65</v>
      </c>
    </row>
    <row r="10" spans="2:3" x14ac:dyDescent="0.3">
      <c r="B10" s="6" t="s">
        <v>12</v>
      </c>
      <c r="C10" s="7"/>
    </row>
    <row r="11" spans="2:3" x14ac:dyDescent="0.3">
      <c r="B11" s="6" t="s">
        <v>13</v>
      </c>
      <c r="C11" s="7"/>
    </row>
    <row r="12" spans="2:3" x14ac:dyDescent="0.3">
      <c r="B12" s="6" t="s">
        <v>14</v>
      </c>
      <c r="C12" s="7"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tabSelected="1" zoomScale="115" zoomScaleNormal="115" workbookViewId="0">
      <pane xSplit="2" ySplit="4" topLeftCell="M5" activePane="bottomRight" state="frozen"/>
      <selection pane="topRight"/>
      <selection pane="bottomLeft"/>
      <selection pane="bottomRight" activeCell="N4" sqref="N4"/>
    </sheetView>
  </sheetViews>
  <sheetFormatPr defaultColWidth="8.77734375" defaultRowHeight="39.6" customHeight="1" x14ac:dyDescent="0.3"/>
  <cols>
    <col min="1" max="1" width="4" style="18" customWidth="1"/>
    <col min="2" max="2" width="32" style="18" customWidth="1"/>
    <col min="3" max="3" width="22" style="18" customWidth="1"/>
    <col min="4" max="4" width="14" style="18" customWidth="1"/>
    <col min="5" max="5" width="7" style="18" customWidth="1"/>
    <col min="6" max="6" width="8" style="18" customWidth="1"/>
    <col min="7" max="7" width="16" style="18" customWidth="1"/>
    <col min="8" max="8" width="20" style="18" customWidth="1"/>
    <col min="9" max="9" width="14" style="18" customWidth="1"/>
    <col min="10" max="10" width="20" style="18" customWidth="1"/>
    <col min="11" max="11" width="18" style="18" customWidth="1"/>
    <col min="12" max="13" width="40" style="18" customWidth="1"/>
    <col min="14" max="14" width="28" style="18" customWidth="1"/>
    <col min="15" max="15" width="30" style="18" customWidth="1"/>
    <col min="16" max="16" width="16" style="18" customWidth="1"/>
    <col min="17" max="16384" width="8.77734375" style="18"/>
  </cols>
  <sheetData>
    <row r="1" spans="1:16" ht="14.4" customHeight="1" x14ac:dyDescent="0.3">
      <c r="A1" s="16" t="s">
        <v>15</v>
      </c>
    </row>
    <row r="2" spans="1:16" ht="13.2" customHeight="1" x14ac:dyDescent="0.3">
      <c r="A2" s="17" t="s">
        <v>16</v>
      </c>
    </row>
    <row r="3" spans="1:16" ht="12.6" customHeight="1" x14ac:dyDescent="0.3"/>
    <row r="4" spans="1:16" ht="39.6" customHeight="1" x14ac:dyDescent="0.3">
      <c r="A4" s="9" t="s">
        <v>17</v>
      </c>
      <c r="B4" s="9" t="s">
        <v>18</v>
      </c>
      <c r="C4" s="9" t="s">
        <v>19</v>
      </c>
      <c r="D4" s="9" t="s">
        <v>20</v>
      </c>
      <c r="E4" s="9" t="s">
        <v>21</v>
      </c>
      <c r="F4" s="9" t="s">
        <v>22</v>
      </c>
      <c r="G4" s="9" t="s">
        <v>23</v>
      </c>
      <c r="H4" s="9" t="s">
        <v>24</v>
      </c>
      <c r="I4" s="9" t="s">
        <v>25</v>
      </c>
      <c r="J4" s="9" t="s">
        <v>26</v>
      </c>
      <c r="K4" s="9" t="s">
        <v>27</v>
      </c>
      <c r="L4" s="9" t="s">
        <v>28</v>
      </c>
      <c r="M4" s="9" t="s">
        <v>29</v>
      </c>
      <c r="N4" s="9" t="s">
        <v>30</v>
      </c>
      <c r="O4" s="9" t="s">
        <v>31</v>
      </c>
      <c r="P4" s="9" t="s">
        <v>32</v>
      </c>
    </row>
    <row r="5" spans="1:16" ht="39.6" customHeight="1" x14ac:dyDescent="0.3">
      <c r="A5" s="10" t="s">
        <v>33</v>
      </c>
      <c r="B5" s="10" t="s">
        <v>34</v>
      </c>
      <c r="C5" s="10" t="s">
        <v>35</v>
      </c>
      <c r="D5" s="10" t="s">
        <v>36</v>
      </c>
      <c r="E5" s="10">
        <v>2024</v>
      </c>
      <c r="F5" s="10">
        <v>2</v>
      </c>
      <c r="G5" s="10" t="s">
        <v>37</v>
      </c>
      <c r="H5" s="10" t="s">
        <v>38</v>
      </c>
      <c r="I5" s="10" t="s">
        <v>39</v>
      </c>
      <c r="J5" s="10" t="s">
        <v>38</v>
      </c>
      <c r="K5" s="10" t="s">
        <v>40</v>
      </c>
      <c r="L5" s="10" t="s">
        <v>41</v>
      </c>
      <c r="M5" s="10" t="s">
        <v>42</v>
      </c>
      <c r="N5" s="10" t="s">
        <v>43</v>
      </c>
      <c r="O5" s="10" t="s">
        <v>44</v>
      </c>
      <c r="P5" s="10" t="s">
        <v>45</v>
      </c>
    </row>
    <row r="6" spans="1:16" ht="39.6" customHeight="1" x14ac:dyDescent="0.3">
      <c r="A6" s="2">
        <v>1</v>
      </c>
      <c r="B6" s="12" t="s">
        <v>67</v>
      </c>
      <c r="C6" s="12" t="s">
        <v>97</v>
      </c>
      <c r="D6" s="19">
        <v>44781</v>
      </c>
      <c r="E6" s="12">
        <v>2022</v>
      </c>
      <c r="F6" s="12">
        <v>2</v>
      </c>
      <c r="G6" s="12" t="s">
        <v>90</v>
      </c>
      <c r="H6" s="12" t="s">
        <v>38</v>
      </c>
      <c r="I6" s="12" t="s">
        <v>98</v>
      </c>
      <c r="J6" s="12" t="s">
        <v>38</v>
      </c>
      <c r="K6" s="12" t="s">
        <v>94</v>
      </c>
      <c r="L6" s="12" t="s">
        <v>107</v>
      </c>
      <c r="M6" s="12" t="s">
        <v>106</v>
      </c>
      <c r="N6" s="12" t="s">
        <v>94</v>
      </c>
      <c r="O6" s="12" t="s">
        <v>96</v>
      </c>
      <c r="P6" s="12" t="s">
        <v>95</v>
      </c>
    </row>
    <row r="7" spans="1:16" ht="39.6" customHeight="1" x14ac:dyDescent="0.3">
      <c r="A7" s="2">
        <v>2</v>
      </c>
      <c r="B7" s="12" t="s">
        <v>68</v>
      </c>
      <c r="C7" s="12" t="s">
        <v>100</v>
      </c>
      <c r="D7" s="12" t="s">
        <v>101</v>
      </c>
      <c r="E7" s="12">
        <v>2021</v>
      </c>
      <c r="F7" s="12">
        <v>3</v>
      </c>
      <c r="G7" s="12" t="s">
        <v>37</v>
      </c>
      <c r="H7" s="12" t="s">
        <v>38</v>
      </c>
      <c r="I7" s="12" t="s">
        <v>39</v>
      </c>
      <c r="J7" s="12" t="s">
        <v>38</v>
      </c>
      <c r="K7" s="12" t="s">
        <v>104</v>
      </c>
      <c r="L7" s="12" t="s">
        <v>105</v>
      </c>
      <c r="M7" s="12" t="s">
        <v>103</v>
      </c>
      <c r="N7" s="12" t="s">
        <v>102</v>
      </c>
      <c r="O7" s="12" t="s">
        <v>99</v>
      </c>
      <c r="P7" s="12" t="s">
        <v>217</v>
      </c>
    </row>
    <row r="8" spans="1:16" ht="39.6" customHeight="1" x14ac:dyDescent="0.3">
      <c r="A8" s="2">
        <v>3</v>
      </c>
      <c r="B8" s="12" t="s">
        <v>69</v>
      </c>
      <c r="C8" s="12" t="s">
        <v>109</v>
      </c>
      <c r="D8" s="12" t="s">
        <v>110</v>
      </c>
      <c r="E8" s="12">
        <v>2023</v>
      </c>
      <c r="F8" s="12">
        <v>2</v>
      </c>
      <c r="G8" s="12" t="s">
        <v>90</v>
      </c>
      <c r="H8" s="12" t="s">
        <v>38</v>
      </c>
      <c r="I8" s="12" t="s">
        <v>39</v>
      </c>
      <c r="J8" s="12" t="s">
        <v>38</v>
      </c>
      <c r="K8" s="12" t="s">
        <v>111</v>
      </c>
      <c r="L8" s="12" t="s">
        <v>114</v>
      </c>
      <c r="M8" s="12" t="s">
        <v>112</v>
      </c>
      <c r="N8" s="12" t="s">
        <v>113</v>
      </c>
      <c r="O8" s="12" t="s">
        <v>108</v>
      </c>
      <c r="P8" s="12" t="s">
        <v>95</v>
      </c>
    </row>
    <row r="9" spans="1:16" ht="39.6" customHeight="1" x14ac:dyDescent="0.3">
      <c r="A9" s="2">
        <v>4</v>
      </c>
      <c r="B9" s="12" t="s">
        <v>70</v>
      </c>
      <c r="C9" s="12" t="s">
        <v>115</v>
      </c>
      <c r="D9" s="19">
        <v>45448</v>
      </c>
      <c r="E9" s="12">
        <v>2024</v>
      </c>
      <c r="F9" s="12">
        <v>2</v>
      </c>
      <c r="G9" s="12" t="s">
        <v>90</v>
      </c>
      <c r="H9" s="12" t="s">
        <v>38</v>
      </c>
      <c r="I9" s="12" t="s">
        <v>39</v>
      </c>
      <c r="J9" s="12" t="s">
        <v>38</v>
      </c>
      <c r="K9" s="12" t="s">
        <v>117</v>
      </c>
      <c r="L9" s="12" t="s">
        <v>116</v>
      </c>
      <c r="M9" s="12" t="s">
        <v>119</v>
      </c>
      <c r="N9" s="12" t="s">
        <v>118</v>
      </c>
      <c r="O9" s="12" t="s">
        <v>120</v>
      </c>
      <c r="P9" s="12" t="s">
        <v>217</v>
      </c>
    </row>
    <row r="10" spans="1:16" ht="39.6" customHeight="1" x14ac:dyDescent="0.3">
      <c r="A10" s="2">
        <v>5</v>
      </c>
      <c r="B10" s="12" t="s">
        <v>71</v>
      </c>
      <c r="C10" s="12" t="s">
        <v>121</v>
      </c>
      <c r="D10" s="12" t="s">
        <v>122</v>
      </c>
      <c r="E10" s="12">
        <v>2024</v>
      </c>
      <c r="F10" s="12">
        <v>3</v>
      </c>
      <c r="G10" s="12" t="s">
        <v>51</v>
      </c>
      <c r="H10" s="12" t="s">
        <v>38</v>
      </c>
      <c r="I10" s="12" t="s">
        <v>98</v>
      </c>
      <c r="J10" s="12" t="s">
        <v>38</v>
      </c>
      <c r="K10" s="12" t="s">
        <v>123</v>
      </c>
      <c r="L10" s="12" t="s">
        <v>126</v>
      </c>
      <c r="M10" s="12" t="s">
        <v>127</v>
      </c>
      <c r="N10" s="12" t="s">
        <v>125</v>
      </c>
      <c r="O10" s="12" t="s">
        <v>124</v>
      </c>
      <c r="P10" s="12" t="s">
        <v>217</v>
      </c>
    </row>
    <row r="11" spans="1:16" ht="39.6" customHeight="1" x14ac:dyDescent="0.3">
      <c r="A11" s="2">
        <v>6</v>
      </c>
      <c r="B11" s="12" t="s">
        <v>73</v>
      </c>
      <c r="C11" s="12" t="s">
        <v>128</v>
      </c>
      <c r="D11" s="19">
        <v>45572</v>
      </c>
      <c r="E11" s="12">
        <v>2024</v>
      </c>
      <c r="F11" s="12">
        <v>2</v>
      </c>
      <c r="G11" s="12" t="s">
        <v>58</v>
      </c>
      <c r="H11" s="12" t="s">
        <v>38</v>
      </c>
      <c r="I11" s="12" t="s">
        <v>39</v>
      </c>
      <c r="J11" s="12" t="s">
        <v>38</v>
      </c>
      <c r="K11" s="12" t="s">
        <v>129</v>
      </c>
      <c r="L11" s="12" t="s">
        <v>130</v>
      </c>
      <c r="M11" s="12" t="s">
        <v>131</v>
      </c>
      <c r="N11" s="12" t="s">
        <v>132</v>
      </c>
      <c r="O11" s="12" t="s">
        <v>133</v>
      </c>
      <c r="P11" s="12" t="s">
        <v>95</v>
      </c>
    </row>
    <row r="12" spans="1:16" ht="39.6" customHeight="1" x14ac:dyDescent="0.3">
      <c r="A12" s="2">
        <v>7</v>
      </c>
      <c r="B12" s="12" t="s">
        <v>72</v>
      </c>
      <c r="C12" s="12" t="s">
        <v>134</v>
      </c>
      <c r="D12" s="12" t="s">
        <v>135</v>
      </c>
      <c r="E12" s="12">
        <v>2024</v>
      </c>
      <c r="F12" s="12">
        <v>2</v>
      </c>
      <c r="G12" s="12" t="s">
        <v>37</v>
      </c>
      <c r="H12" s="12" t="s">
        <v>38</v>
      </c>
      <c r="I12" s="12" t="s">
        <v>98</v>
      </c>
      <c r="J12" s="12" t="s">
        <v>38</v>
      </c>
      <c r="K12" s="12" t="s">
        <v>139</v>
      </c>
      <c r="L12" s="12" t="s">
        <v>141</v>
      </c>
      <c r="M12" s="12" t="s">
        <v>142</v>
      </c>
      <c r="N12" s="12" t="s">
        <v>140</v>
      </c>
      <c r="O12" s="12" t="s">
        <v>143</v>
      </c>
      <c r="P12" s="12" t="s">
        <v>95</v>
      </c>
    </row>
    <row r="13" spans="1:16" ht="39.6" customHeight="1" x14ac:dyDescent="0.3">
      <c r="A13" s="2">
        <v>8</v>
      </c>
      <c r="B13" s="12" t="s">
        <v>74</v>
      </c>
      <c r="C13" s="12" t="s">
        <v>136</v>
      </c>
      <c r="D13" s="12" t="s">
        <v>137</v>
      </c>
      <c r="E13" s="12">
        <v>2024</v>
      </c>
      <c r="F13" s="12">
        <v>2</v>
      </c>
      <c r="G13" s="12" t="s">
        <v>90</v>
      </c>
      <c r="H13" s="12" t="s">
        <v>38</v>
      </c>
      <c r="I13" s="12" t="s">
        <v>49</v>
      </c>
      <c r="J13" s="12" t="s">
        <v>38</v>
      </c>
      <c r="K13" s="12" t="s">
        <v>111</v>
      </c>
      <c r="L13" s="12" t="s">
        <v>144</v>
      </c>
      <c r="M13" s="12" t="s">
        <v>147</v>
      </c>
      <c r="N13" s="12" t="s">
        <v>145</v>
      </c>
      <c r="O13" s="12" t="s">
        <v>146</v>
      </c>
      <c r="P13" s="12" t="s">
        <v>217</v>
      </c>
    </row>
    <row r="14" spans="1:16" ht="39.6" customHeight="1" x14ac:dyDescent="0.3">
      <c r="A14" s="2">
        <v>9</v>
      </c>
      <c r="B14" s="12" t="s">
        <v>75</v>
      </c>
      <c r="C14" s="12" t="s">
        <v>138</v>
      </c>
      <c r="D14" s="12" t="s">
        <v>137</v>
      </c>
      <c r="E14" s="12">
        <v>2024</v>
      </c>
      <c r="F14" s="12">
        <v>2</v>
      </c>
      <c r="G14" s="12" t="s">
        <v>51</v>
      </c>
      <c r="H14" s="12" t="s">
        <v>38</v>
      </c>
      <c r="I14" s="12" t="s">
        <v>51</v>
      </c>
      <c r="J14" s="12" t="s">
        <v>38</v>
      </c>
      <c r="K14" s="12" t="s">
        <v>151</v>
      </c>
      <c r="L14" s="12" t="s">
        <v>148</v>
      </c>
      <c r="M14" s="12" t="s">
        <v>149</v>
      </c>
      <c r="N14" s="12" t="s">
        <v>150</v>
      </c>
      <c r="O14" s="12" t="s">
        <v>152</v>
      </c>
      <c r="P14" s="12" t="s">
        <v>217</v>
      </c>
    </row>
    <row r="15" spans="1:16" ht="39.6" customHeight="1" x14ac:dyDescent="0.3">
      <c r="A15" s="2">
        <v>10</v>
      </c>
      <c r="B15" s="12" t="s">
        <v>76</v>
      </c>
      <c r="C15" s="12" t="s">
        <v>153</v>
      </c>
      <c r="D15" s="19">
        <v>45993</v>
      </c>
      <c r="E15" s="12">
        <v>2025</v>
      </c>
      <c r="F15" s="12">
        <v>3</v>
      </c>
      <c r="G15" s="12" t="s">
        <v>90</v>
      </c>
      <c r="H15" s="12" t="s">
        <v>38</v>
      </c>
      <c r="I15" s="12" t="s">
        <v>51</v>
      </c>
      <c r="J15" s="12" t="s">
        <v>38</v>
      </c>
      <c r="K15" s="12" t="s">
        <v>156</v>
      </c>
      <c r="L15" s="12" t="s">
        <v>154</v>
      </c>
      <c r="M15" s="12" t="s">
        <v>157</v>
      </c>
      <c r="N15" s="12" t="s">
        <v>155</v>
      </c>
      <c r="O15" s="12" t="s">
        <v>158</v>
      </c>
      <c r="P15" s="12" t="s">
        <v>217</v>
      </c>
    </row>
    <row r="16" spans="1:16" ht="39.6" customHeight="1" x14ac:dyDescent="0.3">
      <c r="A16" s="2">
        <v>11</v>
      </c>
      <c r="B16" s="12" t="s">
        <v>79</v>
      </c>
      <c r="C16" s="12" t="s">
        <v>88</v>
      </c>
      <c r="D16" s="12" t="s">
        <v>89</v>
      </c>
      <c r="E16" s="12">
        <v>2025</v>
      </c>
      <c r="F16" s="12">
        <v>2</v>
      </c>
      <c r="G16" s="12" t="s">
        <v>90</v>
      </c>
      <c r="H16" s="12" t="s">
        <v>38</v>
      </c>
      <c r="I16" s="12" t="s">
        <v>39</v>
      </c>
      <c r="J16" s="12" t="s">
        <v>38</v>
      </c>
      <c r="K16" s="12" t="s">
        <v>91</v>
      </c>
      <c r="L16" s="12" t="s">
        <v>92</v>
      </c>
      <c r="M16" s="12" t="s">
        <v>93</v>
      </c>
      <c r="N16" s="12" t="s">
        <v>94</v>
      </c>
      <c r="O16" s="20" t="s">
        <v>215</v>
      </c>
      <c r="P16" s="12" t="s">
        <v>95</v>
      </c>
    </row>
    <row r="17" spans="1:16" ht="39.6" customHeight="1" x14ac:dyDescent="0.3">
      <c r="A17" s="18">
        <v>12</v>
      </c>
      <c r="B17" s="12" t="s">
        <v>80</v>
      </c>
      <c r="C17" s="12" t="s">
        <v>160</v>
      </c>
      <c r="D17" s="19">
        <v>45785</v>
      </c>
      <c r="E17" s="12">
        <v>2025</v>
      </c>
      <c r="F17" s="12">
        <v>3</v>
      </c>
      <c r="G17" s="12" t="s">
        <v>37</v>
      </c>
      <c r="H17" s="12" t="s">
        <v>38</v>
      </c>
      <c r="I17" s="12" t="s">
        <v>39</v>
      </c>
      <c r="J17" s="12" t="s">
        <v>38</v>
      </c>
      <c r="K17" s="12" t="s">
        <v>159</v>
      </c>
      <c r="L17" s="12" t="s">
        <v>161</v>
      </c>
      <c r="M17" s="12" t="s">
        <v>163</v>
      </c>
      <c r="N17" s="12" t="s">
        <v>118</v>
      </c>
      <c r="O17" s="12" t="s">
        <v>162</v>
      </c>
      <c r="P17" s="12" t="s">
        <v>217</v>
      </c>
    </row>
    <row r="18" spans="1:16" ht="39.6" customHeight="1" x14ac:dyDescent="0.3">
      <c r="A18" s="18">
        <v>13</v>
      </c>
      <c r="B18" s="12" t="s">
        <v>81</v>
      </c>
      <c r="C18" s="12" t="s">
        <v>164</v>
      </c>
      <c r="D18" s="12" t="s">
        <v>165</v>
      </c>
      <c r="E18" s="12">
        <v>2025</v>
      </c>
      <c r="F18" s="12">
        <v>2</v>
      </c>
      <c r="G18" s="12" t="s">
        <v>90</v>
      </c>
      <c r="H18" s="12" t="s">
        <v>38</v>
      </c>
      <c r="I18" s="12" t="s">
        <v>39</v>
      </c>
      <c r="J18" s="12" t="s">
        <v>38</v>
      </c>
      <c r="K18" s="12" t="s">
        <v>111</v>
      </c>
      <c r="L18" s="12" t="s">
        <v>166</v>
      </c>
      <c r="M18" s="12" t="s">
        <v>167</v>
      </c>
      <c r="N18" s="12" t="s">
        <v>94</v>
      </c>
      <c r="O18" s="12" t="s">
        <v>168</v>
      </c>
      <c r="P18" s="12" t="s">
        <v>95</v>
      </c>
    </row>
    <row r="19" spans="1:16" ht="39.6" customHeight="1" x14ac:dyDescent="0.3">
      <c r="A19" s="18">
        <v>14</v>
      </c>
      <c r="B19" s="12" t="s">
        <v>82</v>
      </c>
      <c r="C19" s="12" t="s">
        <v>169</v>
      </c>
      <c r="D19" s="12" t="s">
        <v>170</v>
      </c>
      <c r="E19" s="12">
        <v>2025</v>
      </c>
      <c r="F19" s="12">
        <v>2</v>
      </c>
      <c r="G19" s="12" t="s">
        <v>90</v>
      </c>
      <c r="H19" s="12" t="s">
        <v>38</v>
      </c>
      <c r="I19" s="12" t="s">
        <v>98</v>
      </c>
      <c r="J19" s="12" t="s">
        <v>38</v>
      </c>
      <c r="K19" s="12" t="s">
        <v>172</v>
      </c>
      <c r="L19" s="12" t="s">
        <v>171</v>
      </c>
      <c r="M19" s="12" t="s">
        <v>173</v>
      </c>
      <c r="N19" s="12" t="s">
        <v>94</v>
      </c>
      <c r="O19" s="12" t="s">
        <v>174</v>
      </c>
      <c r="P19" s="12" t="s">
        <v>95</v>
      </c>
    </row>
    <row r="20" spans="1:16" ht="39.6" customHeight="1" x14ac:dyDescent="0.3">
      <c r="A20" s="18">
        <v>15</v>
      </c>
      <c r="B20" s="12" t="s">
        <v>83</v>
      </c>
      <c r="C20" s="12" t="s">
        <v>176</v>
      </c>
      <c r="D20" s="12" t="s">
        <v>177</v>
      </c>
      <c r="E20" s="12">
        <v>2025</v>
      </c>
      <c r="F20" s="12">
        <v>2</v>
      </c>
      <c r="G20" s="12" t="s">
        <v>37</v>
      </c>
      <c r="H20" s="12" t="s">
        <v>38</v>
      </c>
      <c r="I20" s="12" t="s">
        <v>51</v>
      </c>
      <c r="J20" s="12" t="s">
        <v>38</v>
      </c>
      <c r="K20" s="12" t="s">
        <v>178</v>
      </c>
      <c r="L20" s="12" t="s">
        <v>179</v>
      </c>
      <c r="M20" s="12" t="s">
        <v>180</v>
      </c>
      <c r="N20" s="12" t="s">
        <v>94</v>
      </c>
      <c r="O20" s="12" t="s">
        <v>175</v>
      </c>
      <c r="P20" s="12" t="s">
        <v>218</v>
      </c>
    </row>
    <row r="21" spans="1:16" ht="39.6" customHeight="1" x14ac:dyDescent="0.3">
      <c r="A21" s="18">
        <v>16</v>
      </c>
      <c r="B21" s="12" t="s">
        <v>84</v>
      </c>
      <c r="C21" s="12" t="s">
        <v>181</v>
      </c>
      <c r="D21" s="19">
        <v>45789</v>
      </c>
      <c r="E21" s="12">
        <v>2025</v>
      </c>
      <c r="F21" s="12">
        <v>2</v>
      </c>
      <c r="G21" s="12" t="s">
        <v>90</v>
      </c>
      <c r="H21" s="12" t="s">
        <v>38</v>
      </c>
      <c r="I21" s="12" t="s">
        <v>98</v>
      </c>
      <c r="J21" s="12" t="s">
        <v>38</v>
      </c>
      <c r="K21" s="12" t="s">
        <v>187</v>
      </c>
      <c r="L21" s="12" t="s">
        <v>182</v>
      </c>
      <c r="M21" s="12" t="s">
        <v>183</v>
      </c>
      <c r="N21" s="12" t="s">
        <v>94</v>
      </c>
      <c r="O21" s="12" t="s">
        <v>184</v>
      </c>
      <c r="P21" s="12" t="s">
        <v>217</v>
      </c>
    </row>
    <row r="22" spans="1:16" ht="39.6" customHeight="1" x14ac:dyDescent="0.3">
      <c r="A22" s="18">
        <v>17</v>
      </c>
      <c r="B22" s="12" t="s">
        <v>85</v>
      </c>
      <c r="C22" s="12" t="s">
        <v>185</v>
      </c>
      <c r="D22" s="12" t="s">
        <v>186</v>
      </c>
      <c r="E22" s="12">
        <v>2025</v>
      </c>
      <c r="F22" s="12">
        <v>2</v>
      </c>
      <c r="G22" s="12" t="s">
        <v>58</v>
      </c>
      <c r="H22" s="12" t="s">
        <v>38</v>
      </c>
      <c r="I22" s="12" t="s">
        <v>98</v>
      </c>
      <c r="J22" s="12" t="s">
        <v>38</v>
      </c>
      <c r="K22" s="12" t="s">
        <v>189</v>
      </c>
      <c r="L22" s="12" t="s">
        <v>190</v>
      </c>
      <c r="M22" s="12" t="s">
        <v>191</v>
      </c>
      <c r="N22" s="12" t="s">
        <v>94</v>
      </c>
      <c r="O22" s="12" t="s">
        <v>188</v>
      </c>
      <c r="P22" s="12" t="s">
        <v>217</v>
      </c>
    </row>
    <row r="23" spans="1:16" ht="39.6" customHeight="1" x14ac:dyDescent="0.3">
      <c r="A23" s="18">
        <v>18</v>
      </c>
      <c r="B23" s="12" t="s">
        <v>86</v>
      </c>
      <c r="C23" s="12" t="s">
        <v>192</v>
      </c>
      <c r="D23" s="12" t="s">
        <v>186</v>
      </c>
      <c r="E23" s="12">
        <v>2025</v>
      </c>
      <c r="F23" s="12">
        <v>2</v>
      </c>
      <c r="G23" s="12" t="s">
        <v>58</v>
      </c>
      <c r="H23" s="12" t="s">
        <v>38</v>
      </c>
      <c r="I23" s="12" t="s">
        <v>98</v>
      </c>
      <c r="J23" s="12" t="s">
        <v>38</v>
      </c>
      <c r="K23" s="12" t="s">
        <v>195</v>
      </c>
      <c r="L23" s="12" t="s">
        <v>194</v>
      </c>
      <c r="M23" s="12" t="s">
        <v>196</v>
      </c>
      <c r="N23" s="12" t="s">
        <v>94</v>
      </c>
      <c r="O23" s="12" t="s">
        <v>193</v>
      </c>
      <c r="P23" s="12" t="s">
        <v>95</v>
      </c>
    </row>
    <row r="24" spans="1:16" ht="39.6" customHeight="1" x14ac:dyDescent="0.3">
      <c r="A24" s="18">
        <v>19</v>
      </c>
      <c r="B24" s="12" t="s">
        <v>77</v>
      </c>
      <c r="C24" s="12" t="s">
        <v>204</v>
      </c>
      <c r="D24" s="12" t="s">
        <v>205</v>
      </c>
      <c r="E24" s="12">
        <v>2025</v>
      </c>
      <c r="F24" s="12">
        <v>2</v>
      </c>
      <c r="G24" s="12" t="s">
        <v>58</v>
      </c>
      <c r="H24" s="12" t="s">
        <v>38</v>
      </c>
      <c r="I24" s="12" t="s">
        <v>39</v>
      </c>
      <c r="J24" s="12" t="s">
        <v>38</v>
      </c>
      <c r="K24" s="12" t="s">
        <v>208</v>
      </c>
      <c r="L24" s="12" t="s">
        <v>206</v>
      </c>
      <c r="M24" s="12" t="s">
        <v>207</v>
      </c>
      <c r="N24" s="12" t="s">
        <v>118</v>
      </c>
      <c r="O24" s="12" t="s">
        <v>203</v>
      </c>
      <c r="P24" s="12" t="s">
        <v>217</v>
      </c>
    </row>
    <row r="25" spans="1:16" ht="39.6" customHeight="1" x14ac:dyDescent="0.3">
      <c r="A25" s="18">
        <v>20</v>
      </c>
      <c r="B25" s="12" t="s">
        <v>78</v>
      </c>
      <c r="C25" s="12" t="s">
        <v>209</v>
      </c>
      <c r="D25" s="12" t="s">
        <v>210</v>
      </c>
      <c r="E25" s="12">
        <v>2025</v>
      </c>
      <c r="F25" s="12">
        <v>2</v>
      </c>
      <c r="G25" s="12" t="s">
        <v>58</v>
      </c>
      <c r="H25" s="12" t="s">
        <v>38</v>
      </c>
      <c r="I25" s="12"/>
      <c r="J25" s="12" t="s">
        <v>38</v>
      </c>
      <c r="K25" s="12" t="s">
        <v>211</v>
      </c>
      <c r="L25" s="12" t="s">
        <v>212</v>
      </c>
      <c r="M25" s="12" t="s">
        <v>213</v>
      </c>
      <c r="N25" s="12" t="s">
        <v>118</v>
      </c>
      <c r="O25" s="12" t="s">
        <v>214</v>
      </c>
      <c r="P25" s="12" t="s">
        <v>95</v>
      </c>
    </row>
    <row r="26" spans="1:16" ht="39.6" customHeight="1" x14ac:dyDescent="0.3">
      <c r="A26" s="18">
        <v>21</v>
      </c>
      <c r="B26" s="12" t="s">
        <v>87</v>
      </c>
      <c r="C26" s="12" t="s">
        <v>197</v>
      </c>
      <c r="D26" s="12" t="s">
        <v>198</v>
      </c>
      <c r="E26" s="12">
        <v>2026</v>
      </c>
      <c r="F26" s="12">
        <v>2</v>
      </c>
      <c r="G26" s="12" t="s">
        <v>58</v>
      </c>
      <c r="H26" s="12" t="s">
        <v>38</v>
      </c>
      <c r="I26" s="12" t="s">
        <v>51</v>
      </c>
      <c r="J26" s="12" t="s">
        <v>38</v>
      </c>
      <c r="K26" s="12" t="s">
        <v>199</v>
      </c>
      <c r="L26" s="12" t="s">
        <v>200</v>
      </c>
      <c r="M26" s="12" t="s">
        <v>201</v>
      </c>
      <c r="N26" s="12" t="s">
        <v>94</v>
      </c>
      <c r="O26" s="12" t="s">
        <v>202</v>
      </c>
      <c r="P26" s="12" t="s">
        <v>95</v>
      </c>
    </row>
  </sheetData>
  <dataValidations count="1">
    <dataValidation type="whole" showErrorMessage="1" errorTitle="Year" error="Enter a year between 2021 and 2026 as a number." sqref="E6:E16" xr:uid="{00000000-0002-0000-0200-000004000000}">
      <formula1>2021</formula1>
      <formula2>2026</formula2>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4">
        <x14:dataValidation type="list" allowBlank="1" showErrorMessage="1" errorTitle="Pick from the list" error="Choose one of the listed values (see Vocabularies sheet)." xr:uid="{00000000-0002-0000-0200-000000000000}">
          <x14:formula1>
            <xm:f>Vocabularies!$A$3:$A$7</xm:f>
          </x14:formula1>
          <xm:sqref>G6:G16</xm:sqref>
        </x14:dataValidation>
        <x14:dataValidation type="list" allowBlank="1" showErrorMessage="1" errorTitle="Pick from the list" error="Choose one of the listed values (see Vocabularies sheet)." xr:uid="{00000000-0002-0000-0200-000001000000}">
          <x14:formula1>
            <xm:f>Vocabularies!$B$3:$B$7</xm:f>
          </x14:formula1>
          <xm:sqref>H6:H16</xm:sqref>
        </x14:dataValidation>
        <x14:dataValidation type="list" allowBlank="1" showErrorMessage="1" errorTitle="Pick from the list" error="Choose one of the listed values (see Vocabularies sheet)." xr:uid="{00000000-0002-0000-0200-000002000000}">
          <x14:formula1>
            <xm:f>Vocabularies!$C$3:$C$6</xm:f>
          </x14:formula1>
          <xm:sqref>I6:I16</xm:sqref>
        </x14:dataValidation>
        <x14:dataValidation type="list" allowBlank="1" showErrorMessage="1" errorTitle="Pick from the list" error="Choose one of the listed values (see Vocabularies sheet)." xr:uid="{00000000-0002-0000-0200-000003000000}">
          <x14:formula1>
            <xm:f>Vocabularies!$D$3:$D$7</xm:f>
          </x14:formula1>
          <xm:sqref>J6:J16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zoomScale="63" workbookViewId="0">
      <selection activeCell="G12" sqref="G12"/>
    </sheetView>
  </sheetViews>
  <sheetFormatPr defaultColWidth="8.77734375" defaultRowHeight="14.4" x14ac:dyDescent="0.3"/>
  <cols>
    <col min="1" max="1" width="26" customWidth="1"/>
    <col min="2" max="2" width="12" customWidth="1"/>
  </cols>
  <sheetData>
    <row r="1" spans="1:2" ht="15.6" x14ac:dyDescent="0.3">
      <c r="A1" s="13" t="s">
        <v>46</v>
      </c>
    </row>
    <row r="2" spans="1:2" x14ac:dyDescent="0.3">
      <c r="A2" s="8" t="s">
        <v>47</v>
      </c>
    </row>
    <row r="4" spans="1:2" x14ac:dyDescent="0.3">
      <c r="A4" s="14" t="s">
        <v>21</v>
      </c>
      <c r="B4" s="14" t="s">
        <v>48</v>
      </c>
    </row>
    <row r="5" spans="1:2" x14ac:dyDescent="0.3">
      <c r="A5" s="11">
        <v>2021</v>
      </c>
      <c r="B5" s="11">
        <f>COUNTIF(Data!E$6:E$26,A5)</f>
        <v>1</v>
      </c>
    </row>
    <row r="6" spans="1:2" x14ac:dyDescent="0.3">
      <c r="A6" s="11">
        <v>2022</v>
      </c>
      <c r="B6" s="11">
        <f>COUNTIF(Data!E$6:E$26,A6)</f>
        <v>1</v>
      </c>
    </row>
    <row r="7" spans="1:2" x14ac:dyDescent="0.3">
      <c r="A7" s="11">
        <v>2023</v>
      </c>
      <c r="B7" s="11">
        <f>COUNTIF(Data!E$6:E$26,A7)</f>
        <v>1</v>
      </c>
    </row>
    <row r="8" spans="1:2" x14ac:dyDescent="0.3">
      <c r="A8" s="11">
        <v>2024</v>
      </c>
      <c r="B8" s="11">
        <f>COUNTIF(Data!E$6:E$26,A8)</f>
        <v>6</v>
      </c>
    </row>
    <row r="9" spans="1:2" x14ac:dyDescent="0.3">
      <c r="A9" s="11">
        <v>2025</v>
      </c>
      <c r="B9" s="11">
        <f>COUNTIF(Data!E$6:E$26,A9)</f>
        <v>11</v>
      </c>
    </row>
    <row r="10" spans="1:2" x14ac:dyDescent="0.3">
      <c r="A10" s="11">
        <v>2026</v>
      </c>
      <c r="B10" s="11">
        <f>COUNTIF(Data!E$6:E$26,A10)</f>
        <v>1</v>
      </c>
    </row>
    <row r="12" spans="1:2" x14ac:dyDescent="0.3">
      <c r="A12" s="14" t="s">
        <v>25</v>
      </c>
      <c r="B12" s="14" t="s">
        <v>48</v>
      </c>
    </row>
    <row r="13" spans="1:2" x14ac:dyDescent="0.3">
      <c r="A13" s="11" t="s">
        <v>39</v>
      </c>
      <c r="B13" s="11">
        <f>COUNTIF(Data!I$6:I$26,A13)</f>
        <v>8</v>
      </c>
    </row>
    <row r="14" spans="1:2" x14ac:dyDescent="0.3">
      <c r="A14" s="11" t="s">
        <v>49</v>
      </c>
      <c r="B14" s="11">
        <f>COUNTIF(Data!I$6:I$26,A14)</f>
        <v>1</v>
      </c>
    </row>
    <row r="15" spans="1:2" x14ac:dyDescent="0.3">
      <c r="A15" s="11" t="s">
        <v>50</v>
      </c>
      <c r="B15" s="11">
        <f>COUNTIF(Data!I$6:I$26,A15)</f>
        <v>7</v>
      </c>
    </row>
    <row r="16" spans="1:2" x14ac:dyDescent="0.3">
      <c r="A16" s="11" t="s">
        <v>51</v>
      </c>
      <c r="B16" s="11">
        <f>COUNTIF(Data!I$6:I$26,A16)</f>
        <v>4</v>
      </c>
    </row>
    <row r="18" spans="1:2" x14ac:dyDescent="0.3">
      <c r="A18" s="14" t="s">
        <v>24</v>
      </c>
      <c r="B18" s="14" t="s">
        <v>48</v>
      </c>
    </row>
    <row r="19" spans="1:2" x14ac:dyDescent="0.3">
      <c r="A19" s="11" t="s">
        <v>38</v>
      </c>
      <c r="B19" s="11">
        <f>COUNTIF(Data!H$6:H$26,A19)</f>
        <v>21</v>
      </c>
    </row>
    <row r="20" spans="1:2" x14ac:dyDescent="0.3">
      <c r="A20" s="11" t="s">
        <v>52</v>
      </c>
      <c r="B20" s="11">
        <f>COUNTIF(Data!H$6:H$26,A20)</f>
        <v>0</v>
      </c>
    </row>
    <row r="21" spans="1:2" x14ac:dyDescent="0.3">
      <c r="A21" s="11" t="s">
        <v>53</v>
      </c>
      <c r="B21" s="11">
        <f>COUNTIF(Data!H$6:H$26,A21)</f>
        <v>0</v>
      </c>
    </row>
    <row r="22" spans="1:2" x14ac:dyDescent="0.3">
      <c r="A22" s="11" t="s">
        <v>54</v>
      </c>
      <c r="B22" s="11">
        <f>COUNTIF(Data!H$6:H$26,A22)</f>
        <v>0</v>
      </c>
    </row>
    <row r="23" spans="1:2" x14ac:dyDescent="0.3">
      <c r="A23" s="11" t="s">
        <v>51</v>
      </c>
      <c r="B23" s="11">
        <f>COUNTIF(Data!H$6:H$26,A23)</f>
        <v>0</v>
      </c>
    </row>
    <row r="25" spans="1:2" x14ac:dyDescent="0.3">
      <c r="A25" s="14" t="s">
        <v>26</v>
      </c>
      <c r="B25" s="14" t="s">
        <v>48</v>
      </c>
    </row>
    <row r="26" spans="1:2" x14ac:dyDescent="0.3">
      <c r="A26" s="11" t="s">
        <v>38</v>
      </c>
      <c r="B26" s="11">
        <f>COUNTIF(Data!J$6:J$26,A26)</f>
        <v>21</v>
      </c>
    </row>
    <row r="27" spans="1:2" x14ac:dyDescent="0.3">
      <c r="A27" s="11" t="s">
        <v>52</v>
      </c>
      <c r="B27" s="11">
        <f>COUNTIF(Data!J$6:J$26,A27)</f>
        <v>0</v>
      </c>
    </row>
    <row r="28" spans="1:2" x14ac:dyDescent="0.3">
      <c r="A28" s="11" t="s">
        <v>53</v>
      </c>
      <c r="B28" s="11">
        <f>COUNTIF(Data!J$6:J$26,A28)</f>
        <v>0</v>
      </c>
    </row>
    <row r="29" spans="1:2" x14ac:dyDescent="0.3">
      <c r="A29" s="11" t="s">
        <v>54</v>
      </c>
      <c r="B29" s="11">
        <f>COUNTIF(Data!J$6:J$26,A29)</f>
        <v>0</v>
      </c>
    </row>
    <row r="30" spans="1:2" x14ac:dyDescent="0.3">
      <c r="A30" s="11" t="s">
        <v>55</v>
      </c>
      <c r="B30" s="11">
        <f>COUNTIF(Data!J$6:J$26,A30)</f>
        <v>0</v>
      </c>
    </row>
    <row r="32" spans="1:2" x14ac:dyDescent="0.3">
      <c r="A32" s="14" t="s">
        <v>23</v>
      </c>
      <c r="B32" s="14" t="s">
        <v>48</v>
      </c>
    </row>
    <row r="33" spans="1:2" x14ac:dyDescent="0.3">
      <c r="A33" s="11" t="s">
        <v>56</v>
      </c>
      <c r="B33" s="11">
        <f>COUNTIF(Data!G$6:G$26,A33)</f>
        <v>0</v>
      </c>
    </row>
    <row r="34" spans="1:2" x14ac:dyDescent="0.3">
      <c r="A34" s="11" t="s">
        <v>57</v>
      </c>
      <c r="B34" s="11">
        <f>COUNTIF(Data!G$6:G$26,A34)</f>
        <v>9</v>
      </c>
    </row>
    <row r="35" spans="1:2" x14ac:dyDescent="0.3">
      <c r="A35" s="11" t="s">
        <v>37</v>
      </c>
      <c r="B35" s="11">
        <f>COUNTIF(Data!G$6:G$26,A35)</f>
        <v>4</v>
      </c>
    </row>
    <row r="36" spans="1:2" x14ac:dyDescent="0.3">
      <c r="A36" s="11" t="s">
        <v>58</v>
      </c>
      <c r="B36" s="11">
        <f>COUNTIF(Data!G$6:G$26,A36)</f>
        <v>6</v>
      </c>
    </row>
    <row r="37" spans="1:2" x14ac:dyDescent="0.3">
      <c r="A37" s="11" t="s">
        <v>51</v>
      </c>
      <c r="B37" s="11">
        <f>COUNTIF(Data!G$6:G$26,A37)</f>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
  <sheetViews>
    <sheetView workbookViewId="0">
      <selection activeCell="A7" sqref="A7"/>
    </sheetView>
  </sheetViews>
  <sheetFormatPr defaultColWidth="8.77734375" defaultRowHeight="14.4" x14ac:dyDescent="0.3"/>
  <cols>
    <col min="1" max="4" width="26" customWidth="1"/>
  </cols>
  <sheetData>
    <row r="1" spans="1:4" ht="15.6" x14ac:dyDescent="0.3">
      <c r="A1" s="13" t="s">
        <v>59</v>
      </c>
    </row>
    <row r="2" spans="1:4" x14ac:dyDescent="0.3">
      <c r="A2" s="14" t="s">
        <v>23</v>
      </c>
      <c r="B2" s="14" t="s">
        <v>24</v>
      </c>
      <c r="C2" s="14" t="s">
        <v>25</v>
      </c>
      <c r="D2" s="14" t="s">
        <v>26</v>
      </c>
    </row>
    <row r="3" spans="1:4" x14ac:dyDescent="0.3">
      <c r="A3" s="11" t="s">
        <v>56</v>
      </c>
      <c r="B3" s="11" t="s">
        <v>38</v>
      </c>
      <c r="C3" s="11" t="s">
        <v>39</v>
      </c>
      <c r="D3" s="11" t="s">
        <v>38</v>
      </c>
    </row>
    <row r="4" spans="1:4" x14ac:dyDescent="0.3">
      <c r="A4" s="11" t="s">
        <v>57</v>
      </c>
      <c r="B4" s="11" t="s">
        <v>52</v>
      </c>
      <c r="C4" s="11" t="s">
        <v>49</v>
      </c>
      <c r="D4" s="11" t="s">
        <v>52</v>
      </c>
    </row>
    <row r="5" spans="1:4" x14ac:dyDescent="0.3">
      <c r="A5" s="11" t="s">
        <v>37</v>
      </c>
      <c r="B5" s="11" t="s">
        <v>53</v>
      </c>
      <c r="C5" s="11" t="s">
        <v>50</v>
      </c>
      <c r="D5" s="11" t="s">
        <v>53</v>
      </c>
    </row>
    <row r="6" spans="1:4" x14ac:dyDescent="0.3">
      <c r="A6" s="11" t="s">
        <v>58</v>
      </c>
      <c r="B6" s="11" t="s">
        <v>54</v>
      </c>
      <c r="C6" s="11" t="s">
        <v>51</v>
      </c>
      <c r="D6" s="11" t="s">
        <v>54</v>
      </c>
    </row>
    <row r="7" spans="1:4" x14ac:dyDescent="0.3">
      <c r="A7" s="11" t="s">
        <v>51</v>
      </c>
      <c r="B7" s="11" t="s">
        <v>51</v>
      </c>
      <c r="D7" s="11"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Team</vt:lpstr>
      <vt:lpstr>Data</vt:lpstr>
      <vt:lpstr>Chart counts</vt:lpstr>
      <vt:lpstr>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Rohini Abhyankar</cp:lastModifiedBy>
  <dcterms:created xsi:type="dcterms:W3CDTF">2026-09-16T11:13:46Z</dcterms:created>
  <dcterms:modified xsi:type="dcterms:W3CDTF">2026-10-30T12:45:13Z</dcterms:modified>
</cp:coreProperties>
</file>